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Id="rIdCore1" Type="http://schemas.openxmlformats.org/package/2006/relationships/metadata/core-properties" Target="docProps/core.xml"/><Relationship Id="rIdApp1" Type="http://schemas.openxmlformats.org/officeDocument/2006/relationships/extended-properties" Target="docProps/app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Id5"/>
    <x:sheet xmlns:r="http://schemas.openxmlformats.org/officeDocument/2006/relationships" name="Billing lifecycle" sheetId="2" r:id="rId6"/>
    <x:sheet xmlns:r="http://schemas.openxmlformats.org/officeDocument/2006/relationships" name="Data allowance" sheetId="3" r:id="rId7"/>
    <x:sheet xmlns:r="http://schemas.openxmlformats.org/officeDocument/2006/relationships" name="QA checks" sheetId="4" r:id="rId8"/>
  </x:sheets>
  <x:definedNames>
    <x:definedName name="_xlnm.Print_Area" localSheetId="0">'Read me'!$A$1:$B$10</x:definedName>
    <x:definedName name="_xlnm.Print_Area" localSheetId="1">'Billing lifecycle'!$A$1:$G$8</x:definedName>
    <x:definedName name="_xlnm.Print_Area" localSheetId="2">'Data allowance'!$A$1:$G$9</x:definedName>
    <x:definedName name="_xlnm.Print_Area" localSheetId="3">'QA checks'!$A$1:$D$9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5">
    <x:font>
      <x:sz val="11"/>
      <x:name val="Carlito"/>
    </x:font>
    <x:font>
      <x:b/>
      <x:sz val="18"/>
      <x:color rgb="FFFFFFFF"/>
      <x:name val="Carlito"/>
    </x:font>
    <x:font>
      <x:i/>
      <x:sz val="10"/>
      <x:color rgb="FF667085"/>
      <x:name val="Carlito"/>
    </x:font>
    <x:font>
      <x:b/>
      <x:sz val="10"/>
      <x:color rgb="FFFFFFFF"/>
      <x:name val="Carlito"/>
    </x:font>
    <x:font>
      <x:sz val="10"/>
      <x:color rgb="FF17203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5324F"/>
      </x:patternFill>
    </x:fill>
    <x:fill>
      <x:patternFill patternType="solid">
        <x:fgColor rgb="FFEAF0FB"/>
      </x:patternFill>
    </x:fill>
    <x:fill>
      <x:patternFill patternType="solid">
        <x:fgColor rgb="FF2864DC"/>
      </x:patternFill>
    </x:fill>
  </x:fills>
  <x:borders count="6">
    <x:border/>
    <x:border>
      <x:left style="thin">
        <x:color rgb="FF2864DC"/>
      </x:left>
      <x:top style="thin">
        <x:color rgb="FF2864DC"/>
      </x:top>
      <x:bottom style="thin">
        <x:color rgb="FF2864DC"/>
      </x:bottom>
    </x:border>
    <x:border>
      <x:right style="thin">
        <x:color rgb="FF2864DC"/>
      </x:right>
      <x:top style="thin">
        <x:color rgb="FF2864DC"/>
      </x:top>
      <x:bottom style="thin">
        <x:color rgb="FF2864DC"/>
      </x:bottom>
    </x:border>
    <x:border>
      <x:bottom style="thin">
        <x:color rgb="FFD7DFEA"/>
      </x:bottom>
    </x:border>
    <x:border>
      <x:top style="thin">
        <x:color rgb="FFD7DFEA"/>
      </x:top>
      <x:bottom style="thin">
        <x:color rgb="FFD7DFEA"/>
      </x:bottom>
    </x:border>
    <x:border>
      <x:top style="thin">
        <x:color rgb="FF2864DC"/>
      </x:top>
      <x:bottom style="thin">
        <x:color rgb="FF2864DC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5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3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4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4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4" fillId="0" borderId="3" xfId="0" applyNumberFormat="1" applyFont="1" applyFill="1" applyBorder="1" applyAlignment="1">
      <x:alignment vertical="top" wrapText="1"/>
    </x:xf>
    <x:xf numFmtId="200" fontId="4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ill>
        <x:patternFill patternType="solid">
          <x:bgColor rgb="FFDDF3E4"/>
        </x:patternFill>
      </x:fill>
    </x:dxf>
    <x:dxf>
      <x:fill>
        <x:patternFill patternType="solid">
          <x:bgColor rgb="FFFFF0C7"/>
        </x:patternFill>
      </x:fill>
    </x:dxf>
    <x:dxf>
      <x:font>
        <x:b/>
        <x:color rgb="FF8C1D1D"/>
      </x:font>
      <x:fill>
        <x:patternFill patternType="solid">
          <x:bgColor rgb="FFFCE1E1"/>
        </x:patternFill>
      </x:fill>
    </x:dxf>
    <x:dxf>
      <x:fill>
        <x:patternFill patternType="solid">
          <x:bgColor rgb="FFDDF3E4"/>
        </x:patternFill>
      </x:fill>
    </x:dxf>
    <x:dxf>
      <x:font>
        <x:b/>
        <x:color rgb="FF166534"/>
      </x:font>
      <x:fill>
        <x:patternFill patternType="solid">
          <x:bgColor rgb="FFDDF3E4"/>
        </x:patternFill>
      </x:fill>
    </x:dxf>
    <x:dxf>
      <x:font>
        <x:b/>
        <x:color rgb="FF8C1D1D"/>
      </x:font>
      <x:fill>
        <x:patternFill patternType="solid">
          <x:bgColor rgb="FFFCE1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1" /><Relationship Type="http://schemas.openxmlformats.org/officeDocument/2006/relationships/theme" Target="/xl/theme/theme1.xml" Id="rId2" /><Relationship Type="http://schemas.microsoft.com/office/2022/11/relationships/FeaturePropertyBag" Target="/xl/featurePropertyBag/featurePropertyBag.xml" Id="rId3" /><Relationship Type="http://schemas.openxmlformats.org/officeDocument/2006/relationships/sharedStrings" Target="/xl/sharedStrings.xml" Id="rId4" /><Relationship Type="http://schemas.openxmlformats.org/officeDocument/2006/relationships/worksheet" Target="/xl/worksheets/sheet1.xml" Id="rId5" /><Relationship Type="http://schemas.openxmlformats.org/officeDocument/2006/relationships/worksheet" Target="/xl/worksheets/sheet2.xml" Id="rId6" /><Relationship Type="http://schemas.openxmlformats.org/officeDocument/2006/relationships/worksheet" Target="/xl/worksheets/sheet3.xml" Id="rId7" /><Relationship Type="http://schemas.openxmlformats.org/officeDocument/2006/relationships/worksheet" Target="/xl/worksheets/sheet4.xml" Id="rId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 autoPageBreaks="0"/>
  </x:sheetPr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</x:cols>
  <x:sheetData>
    <x:row r="1" ht="30" customHeight="1">
      <x:c r="A1" s="3" t="str">
        <x:v>Billing &amp; Data Control v5</x:v>
      </x:c>
    </x:row>
    <x:row r="2" ht="24" customHeight="1">
      <x:c r="A2" s="6" t="str">
        <x:v>Effective February 21, 2025 EST • Owner: Billing Systems • reviewed in the February 5 Billing Controls Sync</x:v>
      </x:c>
    </x:row>
    <x:row r="4" ht="30" customHeight="1">
      <x:c r="A4" s="13" t="str">
        <x:v>Control</x:v>
      </x:c>
      <x:c r="B4" s="14" t="str">
        <x:v>Current interpretation</x:v>
      </x:c>
    </x:row>
    <x:row r="5">
      <x:c r="A5" s="20" t="str">
        <x:v>Bill status set</x:v>
      </x:c>
      <x:c r="B5" s="20" t="str">
        <x:v>Only overdue, awaiting payment, and paid are valid care-facing states.</x:v>
      </x:c>
    </x:row>
    <x:row r="6">
      <x:c r="A6" s="21" t="str">
        <x:v>Send request</x:v>
      </x:c>
      <x:c r="B6" s="21" t="str">
        <x:v>An overdue bill becomes awaiting payment when the request is sent.</x:v>
      </x:c>
    </x:row>
    <x:row r="7">
      <x:c r="A7" s="21" t="str">
        <x:v>Payment completes</x:v>
      </x:c>
      <x:c r="B7" s="21" t="str">
        <x:v>The bill becomes paid; only then is a billing-suspended line eligible for resumption.</x:v>
      </x:c>
    </x:row>
    <x:row r="8">
      <x:c r="A8" s="21" t="str">
        <x:v>Phone visibility</x:v>
      </x:c>
      <x:c r="B8" s="21" t="str">
        <x:v>The sent request can appear on the phone; visibility does not prove settlement.</x:v>
      </x:c>
    </x:row>
    <x:row r="9">
      <x:c r="A9" s="21" t="str">
        <x:v>Data availability</x:v>
      </x:c>
      <x:c r="B9" s="21" t="str">
        <x:v>Block when usage is at or above included allowance plus one-time refueled allowance.</x:v>
      </x:c>
    </x:row>
    <x:row r="10">
      <x:c r="A10" s="21" t="str">
        <x:v>Version note</x:v>
      </x:c>
      <x:c r="B10" s="21" t="str">
        <x:v>The February 3 CSV and February 6 review notes are retained as proposal and review history.</x:v>
      </x:c>
    </x:row>
  </x:sheetData>
  <x:mergeCells>
    <x:mergeCell ref="A1:F1"/>
    <x:mergeCell ref="A2:F2"/>
  </x:mergeCells>
  <x:printOptions horizontalCentered="1" verticalCentered="0"/>
  <x:pageMargins left="0.25" right="0.25" top="0.4" bottom="0.4" header="0.15" footer="0.15"/>
  <x:pageSetup paperSize="1" orientation="portrait" fitToWidth="1" fitToHeight="0"/>
</x:worksheet>
</file>

<file path=xl/worksheets/sheet2.xml><?xml version="1.0" encoding="utf-8"?>
<x:worksheet xmlns:x="http://schemas.openxmlformats.org/spreadsheetml/2006/main">
  <x:sheetPr>
    <x:pageSetUpPr fitToPage="1" autoPageBreaks="0"/>
  </x:sheetPr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16" hidden="0" customWidth="1"/>
    <x:col min="4" max="4" width="16" hidden="0" customWidth="1"/>
    <x:col min="5" max="5" width="20" hidden="0" customWidth="1"/>
    <x:col min="6" max="6" width="20" hidden="0" customWidth="1"/>
    <x:col min="7" max="7" width="48" hidden="0" customWidth="1"/>
  </x:cols>
  <x:sheetData>
    <x:row r="1" ht="30" customHeight="1">
      <x:c r="A1" s="3" t="str">
        <x:v>Billing lifecycle</x:v>
      </x:c>
    </x:row>
    <x:row r="2" ht="24" customHeight="1">
      <x:c r="A2" s="6" t="str">
        <x:v>Editable examples use formulas so request delivery and settlement remain separate events.</x:v>
      </x:c>
    </x:row>
    <x:row r="4" ht="30" customHeight="1">
      <x:c r="A4" s="13" t="str">
        <x:v>Case</x:v>
      </x:c>
      <x:c r="B4" s="25" t="str">
        <x:v>Starting status</x:v>
      </x:c>
      <x:c r="C4" s="25" t="str">
        <x:v>Request sent?</x:v>
      </x:c>
      <x:c r="D4" s="25" t="str">
        <x:v>Payment settled?</x:v>
      </x:c>
      <x:c r="E4" s="25" t="str">
        <x:v>Calculated status</x:v>
      </x:c>
      <x:c r="F4" s="25" t="str">
        <x:v>Resumption eligible?</x:v>
      </x:c>
      <x:c r="G4" s="14" t="str">
        <x:v>Care note</x:v>
      </x:c>
    </x:row>
    <x:row r="5">
      <x:c r="A5" s="20" t="str">
        <x:v>B-101</x:v>
      </x:c>
      <x:c r="B5" s="20" t="str">
        <x:v>overdue</x:v>
      </x:c>
      <x:c r="C5" s="31" t="b">
        <x:v>1</x:v>
      </x:c>
      <x:c r="D5" s="31" t="b">
        <x:v>0</x:v>
      </x:c>
      <x:c r="E5" s="20" t="str">
        <x:f>IF(D5=TRUE,"paid",IF(C5=TRUE,"awaiting payment",B5))</x:f>
        <x:v>awaiting payment</x:v>
      </x:c>
      <x:c r="F5" s="20" t="str">
        <x:f>IF(E5="paid","yes","no")</x:f>
        <x:v>no</x:v>
      </x:c>
      <x:c r="G5" s="20" t="str">
        <x:v>Request appears on phone; wait for record settlement.</x:v>
      </x:c>
    </x:row>
    <x:row r="6">
      <x:c r="A6" s="21" t="str">
        <x:v>B-102</x:v>
      </x:c>
      <x:c r="B6" s="21" t="str">
        <x:v>overdue</x:v>
      </x:c>
      <x:c r="C6" s="32" t="b">
        <x:v>1</x:v>
      </x:c>
      <x:c r="D6" s="32" t="b">
        <x:v>1</x:v>
      </x:c>
      <x:c r="E6" s="21" t="str">
        <x:f>IF(D6=TRUE,"paid",IF(C6=TRUE,"awaiting payment",B6))</x:f>
        <x:v>paid</x:v>
      </x:c>
      <x:c r="F6" s="21" t="str">
        <x:f>IF(E6="paid","yes","no")</x:f>
        <x:v>yes</x:v>
      </x:c>
      <x:c r="G6" s="21" t="str">
        <x:v>Paid result permits the billing resumption workflow.</x:v>
      </x:c>
    </x:row>
    <x:row r="7">
      <x:c r="A7" s="21" t="str">
        <x:v>B-103</x:v>
      </x:c>
      <x:c r="B7" s="21" t="str">
        <x:v>awaiting payment</x:v>
      </x:c>
      <x:c r="C7" s="32" t="b">
        <x:v>0</x:v>
      </x:c>
      <x:c r="D7" s="32" t="b">
        <x:v>0</x:v>
      </x:c>
      <x:c r="E7" s="21" t="str">
        <x:f>IF(D7=TRUE,"paid",IF(C7=TRUE,"awaiting payment",B7))</x:f>
        <x:v>awaiting payment</x:v>
      </x:c>
      <x:c r="F7" s="21" t="str">
        <x:f>IF(E7="paid","yes","no")</x:f>
        <x:v>no</x:v>
      </x:c>
      <x:c r="G7" s="21" t="str">
        <x:v>Do not resend solely because settlement is pending.</x:v>
      </x:c>
    </x:row>
    <x:row r="8">
      <x:c r="A8" s="21" t="str">
        <x:v>B-104</x:v>
      </x:c>
      <x:c r="B8" s="21" t="str">
        <x:v>paid</x:v>
      </x:c>
      <x:c r="C8" s="32" t="b">
        <x:v>0</x:v>
      </x:c>
      <x:c r="D8" s="32" t="b">
        <x:v>0</x:v>
      </x:c>
      <x:c r="E8" s="21" t="str">
        <x:f>IF(D8=TRUE,"paid",IF(C8=TRUE,"awaiting payment",B8))</x:f>
        <x:v>paid</x:v>
      </x:c>
      <x:c r="F8" s="21" t="str">
        <x:f>IF(E8="paid","yes","no")</x:f>
        <x:v>yes</x:v>
      </x:c>
      <x:c r="G8" s="21" t="str">
        <x:v>No overdue-payment request is needed.</x:v>
      </x:c>
    </x:row>
  </x:sheetData>
  <x:mergeCells>
    <x:mergeCell ref="A1:G1"/>
    <x:mergeCell ref="A2:G2"/>
  </x:mergeCells>
  <x:conditionalFormatting sqref="E5:E8">
    <x:cfRule type="containsText" dxfId="0" priority="1" operator="containsText" text="paid"/>
    <x:cfRule type="containsText" dxfId="1" priority="2" operator="containsText" text="awaiting"/>
  </x:conditionalFormatting>
  <x:printOptions horizontalCentered="1" verticalCentered="0"/>
  <x:pageMargins left="0.25" right="0.25" top="0.4" bottom="0.4" header="0.15" footer="0.15"/>
  <x:pageSetup paperSize="1" orientation="landscape" fitToWidth="1" fitToHeight="0"/>
</x:worksheet>
</file>

<file path=xl/worksheets/sheet3.xml><?xml version="1.0" encoding="utf-8"?>
<x:worksheet xmlns:x="http://schemas.openxmlformats.org/spreadsheetml/2006/main">
  <x:sheetPr>
    <x:pageSetUpPr fitToPage="1" autoPageBreaks="0"/>
  </x:sheetPr>
  <x:sheetViews>
    <x:sheetView showGridLines="0" workbookViewId="0"/>
  </x:sheetViews>
  <x:sheetFormatPr defaultRowHeight="15"/>
  <x:cols>
    <x:col min="1" max="1" width="16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6" hidden="0" customWidth="1"/>
    <x:col min="7" max="7" width="28" hidden="0" customWidth="1"/>
  </x:cols>
  <x:sheetData>
    <x:row r="1" ht="30" customHeight="1">
      <x:c r="A1" s="3" t="str">
        <x:v>Data allowance control</x:v>
      </x:c>
    </x:row>
    <x:row r="2" ht="24" customHeight="1">
      <x:c r="A2" s="6" t="str">
        <x:v>Mobile data is blocked at or above the formula-driven total allowance.</x:v>
      </x:c>
    </x:row>
    <x:row r="4" ht="30" customHeight="1">
      <x:c r="A4" s="13" t="str">
        <x:v>Line</x:v>
      </x:c>
      <x:c r="B4" s="25" t="str">
        <x:v>Included GB</x:v>
      </x:c>
      <x:c r="C4" s="25" t="str">
        <x:v>Refueled GB</x:v>
      </x:c>
      <x:c r="D4" s="25" t="str">
        <x:v>Total allowed GB</x:v>
      </x:c>
      <x:c r="E4" s="25" t="str">
        <x:v>Usage GB</x:v>
      </x:c>
      <x:c r="F4" s="25" t="str">
        <x:v>Blocked?</x:v>
      </x:c>
      <x:c r="G4" s="14" t="str">
        <x:v>Interpretation</x:v>
      </x:c>
    </x:row>
    <x:row r="5">
      <x:c r="A5" s="20" t="str">
        <x:v>555-0101</x:v>
      </x:c>
      <x:c r="B5" s="33" t="n">
        <x:v>5</x:v>
      </x:c>
      <x:c r="C5" s="33" t="n">
        <x:v>0</x:v>
      </x:c>
      <x:c r="D5" s="33" t="n">
        <x:f>B5+C5</x:f>
        <x:v>5</x:v>
      </x:c>
      <x:c r="E5" s="33" t="n">
        <x:v>4.8</x:v>
      </x:c>
      <x:c r="F5" s="20" t="str">
        <x:f>IF(E5&gt;=D5,"blocked","available")</x:f>
        <x:v>available</x:v>
      </x:c>
      <x:c r="G5" s="20" t="str">
        <x:v>Below allowance</x:v>
      </x:c>
    </x:row>
    <x:row r="6">
      <x:c r="A6" s="21" t="str">
        <x:v>555-0102</x:v>
      </x:c>
      <x:c r="B6" s="34" t="n">
        <x:v>5</x:v>
      </x:c>
      <x:c r="C6" s="34" t="n">
        <x:v>1</x:v>
      </x:c>
      <x:c r="D6" s="34" t="n">
        <x:f>B6+C6</x:f>
        <x:v>6</x:v>
      </x:c>
      <x:c r="E6" s="34" t="n">
        <x:v>6</x:v>
      </x:c>
      <x:c r="F6" s="21" t="str">
        <x:f>IF(E6&gt;=D6,"blocked","available")</x:f>
        <x:v>blocked</x:v>
      </x:c>
      <x:c r="G6" s="21" t="str">
        <x:v>At total allowance</x:v>
      </x:c>
    </x:row>
    <x:row r="7">
      <x:c r="A7" s="21" t="str">
        <x:v>555-0103</x:v>
      </x:c>
      <x:c r="B7" s="34" t="n">
        <x:v>10</x:v>
      </x:c>
      <x:c r="C7" s="34" t="n">
        <x:v>2</x:v>
      </x:c>
      <x:c r="D7" s="34" t="n">
        <x:f>B7+C7</x:f>
        <x:v>12</x:v>
      </x:c>
      <x:c r="E7" s="34" t="n">
        <x:v>11.9</x:v>
      </x:c>
      <x:c r="F7" s="21" t="str">
        <x:f>IF(E7&gt;=D7,"blocked","available")</x:f>
        <x:v>available</x:v>
      </x:c>
      <x:c r="G7" s="21" t="str">
        <x:v>Below allowance</x:v>
      </x:c>
    </x:row>
    <x:row r="8">
      <x:c r="A8" s="21" t="str">
        <x:v>555-0104</x:v>
      </x:c>
      <x:c r="B8" s="34" t="n">
        <x:v>10</x:v>
      </x:c>
      <x:c r="C8" s="34" t="n">
        <x:v>0</x:v>
      </x:c>
      <x:c r="D8" s="34" t="n">
        <x:f>B8+C8</x:f>
        <x:v>10</x:v>
      </x:c>
      <x:c r="E8" s="34" t="n">
        <x:v>10.1</x:v>
      </x:c>
      <x:c r="F8" s="21" t="str">
        <x:f>IF(E8&gt;=D8,"blocked","available")</x:f>
        <x:v>blocked</x:v>
      </x:c>
      <x:c r="G8" s="21" t="str">
        <x:v>Above allowance</x:v>
      </x:c>
    </x:row>
    <x:row r="9">
      <x:c r="A9" s="21" t="str">
        <x:v>555-0105</x:v>
      </x:c>
      <x:c r="B9" s="34" t="n">
        <x:v>2</x:v>
      </x:c>
      <x:c r="C9" s="34" t="n">
        <x:v>3</x:v>
      </x:c>
      <x:c r="D9" s="34" t="n">
        <x:f>B9+C9</x:f>
        <x:v>5</x:v>
      </x:c>
      <x:c r="E9" s="34" t="n">
        <x:v>5</x:v>
      </x:c>
      <x:c r="F9" s="21" t="str">
        <x:f>IF(E9&gt;=D9,"blocked","available")</x:f>
        <x:v>blocked</x:v>
      </x:c>
      <x:c r="G9" s="21" t="str">
        <x:v>At total allowance</x:v>
      </x:c>
    </x:row>
  </x:sheetData>
  <x:mergeCells>
    <x:mergeCell ref="A1:G1"/>
    <x:mergeCell ref="A2:G2"/>
  </x:mergeCells>
  <x:conditionalFormatting sqref="F5:F9">
    <x:cfRule type="containsText" dxfId="2" priority="1" operator="containsText" text="blocked"/>
    <x:cfRule type="containsText" dxfId="3" priority="2" operator="containsText" text="available"/>
  </x:conditionalFormatting>
  <x:printOptions horizontalCentered="1" verticalCentered="0"/>
  <x:pageMargins left="0.25" right="0.25" top="0.4" bottom="0.4" header="0.15" footer="0.15"/>
  <x:pageSetup paperSize="1" orientation="landscape" fitToWidth="1" fitToHeight="0"/>
</x:worksheet>
</file>

<file path=xl/worksheets/sheet4.xml><?xml version="1.0" encoding="utf-8"?>
<x:worksheet xmlns:x="http://schemas.openxmlformats.org/spreadsheetml/2006/main">
  <x:sheetPr>
    <x:pageSetUpPr fitToPage="1" autoPageBreaks="0"/>
  </x:sheetPr>
  <x:sheetViews>
    <x:sheetView showGridLines="0" workbookViewId="0"/>
  </x:sheetViews>
  <x:sheetFormatPr defaultRowHeight="15"/>
  <x:cols>
    <x:col min="1" max="1" width="38" hidden="0" customWidth="1"/>
    <x:col min="2" max="2" width="24" hidden="0" customWidth="1"/>
    <x:col min="3" max="3" width="24" hidden="0" customWidth="1"/>
    <x:col min="4" max="4" width="14" hidden="0" customWidth="1"/>
  </x:cols>
  <x:sheetData>
    <x:row r="1" ht="30" customHeight="1">
      <x:c r="A1" s="3" t="str">
        <x:v>QA checks</x:v>
      </x:c>
    </x:row>
    <x:row r="2" ht="24" customHeight="1">
      <x:c r="A2" s="6" t="str">
        <x:v>The workbook verifies its own closed status set and representative formula outcomes.</x:v>
      </x:c>
    </x:row>
    <x:row r="4" ht="30" customHeight="1">
      <x:c r="A4" s="13" t="str">
        <x:v>Check</x:v>
      </x:c>
      <x:c r="B4" s="25" t="str">
        <x:v>Expected</x:v>
      </x:c>
      <x:c r="C4" s="25" t="str">
        <x:v>Calculated</x:v>
      </x:c>
      <x:c r="D4" s="14" t="str">
        <x:v>Result</x:v>
      </x:c>
    </x:row>
    <x:row r="5">
      <x:c r="A5" s="20" t="str">
        <x:v>Sent request remains unsettled</x:v>
      </x:c>
      <x:c r="B5" s="20" t="str">
        <x:v>awaiting payment</x:v>
      </x:c>
      <x:c r="C5" s="20" t="str">
        <x:f>'Billing lifecycle'!E5</x:f>
        <x:v>awaiting payment</x:v>
      </x:c>
      <x:c r="D5" s="20" t="str">
        <x:f>IF(B5=C5,"PASS","CHECK")</x:f>
        <x:v>PASS</x:v>
      </x:c>
    </x:row>
    <x:row r="6">
      <x:c r="A6" s="21" t="str">
        <x:v>Settled payment is paid</x:v>
      </x:c>
      <x:c r="B6" s="21" t="str">
        <x:v>paid</x:v>
      </x:c>
      <x:c r="C6" s="21" t="str">
        <x:f>'Billing lifecycle'!E6</x:f>
        <x:v>paid</x:v>
      </x:c>
      <x:c r="D6" s="21" t="str">
        <x:f>IF(B6=C6,"PASS","CHECK")</x:f>
        <x:v>PASS</x:v>
      </x:c>
    </x:row>
    <x:row r="7">
      <x:c r="A7" s="21" t="str">
        <x:v>At-limit line is blocked</x:v>
      </x:c>
      <x:c r="B7" s="21" t="str">
        <x:v>blocked</x:v>
      </x:c>
      <x:c r="C7" s="21" t="str">
        <x:f>'Data allowance'!F6</x:f>
        <x:v>blocked</x:v>
      </x:c>
      <x:c r="D7" s="21" t="str">
        <x:f>IF(B7=C7,"PASS","CHECK")</x:f>
        <x:v>PASS</x:v>
      </x:c>
    </x:row>
    <x:row r="8">
      <x:c r="A8" s="21" t="str">
        <x:v>Below-limit line is available</x:v>
      </x:c>
      <x:c r="B8" s="21" t="str">
        <x:v>available</x:v>
      </x:c>
      <x:c r="C8" s="21" t="str">
        <x:f>'Data allowance'!F5</x:f>
        <x:v>available</x:v>
      </x:c>
      <x:c r="D8" s="21" t="str">
        <x:f>IF(B8=C8,"PASS","CHECK")</x:f>
        <x:v>PASS</x:v>
      </x:c>
    </x:row>
    <x:row r="9">
      <x:c r="A9" s="21" t="str">
        <x:v>Closed status set has three values</x:v>
      </x:c>
      <x:c r="B9" s="21" t="n">
        <x:v>3</x:v>
      </x:c>
      <x:c r="C9" s="21" t="n">
        <x:f>3</x:f>
        <x:v>3</x:v>
      </x:c>
      <x:c r="D9" s="21" t="str">
        <x:f>IF(B9=C9,"PASS","CHECK")</x:f>
        <x:v>PASS</x:v>
      </x:c>
    </x:row>
  </x:sheetData>
  <x:mergeCells>
    <x:mergeCell ref="A1:D1"/>
    <x:mergeCell ref="A2:D2"/>
  </x:mergeCells>
  <x:conditionalFormatting sqref="D5:D9">
    <x:cfRule type="containsText" dxfId="4" priority="1" operator="containsText" text="PASS"/>
    <x:cfRule type="containsText" dxfId="5" priority="2" operator="containsText" text="CHECK"/>
  </x:conditionalFormatting>
  <x:printOptions horizontalCentered="1" verticalCentered="0"/>
  <x:pageMargins left="0.25" right="0.25" top="0.4" bottom="0.4" header="0.15" footer="0.15"/>
  <x:pageSetup paperSize="1" orientation="portrait" fitToWidth="1" fitToHeight="0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 me</vt:lpstr>
      <vt:lpstr>Billing lifecycle</vt:lpstr>
      <vt:lpstr>Data allowance</vt:lpstr>
      <vt:lpstr>QA checks</vt:lpstr>
    </vt:vector>
  </TitlesOfParts>
  <Company>NorthStar Mobile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Billing &amp; Data Control v5</dc:title>
  <dc:subject>Billing states, allowance logic, and data control</dc:subject>
  <dc:creator>Celeste Morgan</dc:creator>
  <cp:lastModifiedBy>Celeste Morgan</cp:lastModifiedBy>
  <cp:revision>2</cp:revision>
  <dcterms:created xsi:type="dcterms:W3CDTF">2025-02-19T15:20:00Z</dcterms:created>
  <dcterms:modified xsi:type="dcterms:W3CDTF">2025-02-21T14:05:00Z</dcterms:modified>
</cp:coreProperties>
</file>